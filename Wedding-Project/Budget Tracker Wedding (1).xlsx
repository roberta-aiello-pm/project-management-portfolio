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<sst xmlns="http://schemas.openxmlformats.org/spreadsheetml/2006/main" count="58" uniqueCount="51">
  <si>
    <t>Budget Template</t>
  </si>
  <si>
    <t>TARGET BUDGET</t>
  </si>
  <si>
    <t>ACTUAL BUDGET</t>
  </si>
  <si>
    <t xml:space="preserve">% SPENT </t>
  </si>
  <si>
    <t>%REMAINING</t>
  </si>
  <si>
    <t xml:space="preserve">FOUND LEFT </t>
  </si>
  <si>
    <t>LABOR</t>
  </si>
  <si>
    <t>MATERIALS</t>
  </si>
  <si>
    <t>FIXED COST</t>
  </si>
  <si>
    <t xml:space="preserve">BUDGET </t>
  </si>
  <si>
    <t>ACTUAL</t>
  </si>
  <si>
    <t xml:space="preserve">WHO PAYS </t>
  </si>
  <si>
    <t>TASK</t>
  </si>
  <si>
    <t>HRS</t>
  </si>
  <si>
    <t>RATE</t>
  </si>
  <si>
    <t>UNITS</t>
  </si>
  <si>
    <t>$/UNIT</t>
  </si>
  <si>
    <t>SUMMARY</t>
  </si>
  <si>
    <t>TOTAL BUDGET (€)</t>
  </si>
  <si>
    <t xml:space="preserve">% RIMANENTE </t>
  </si>
  <si>
    <t xml:space="preserve">%SPENT </t>
  </si>
  <si>
    <t>FOUND LEFT ($)</t>
  </si>
  <si>
    <t>Wedding total cost</t>
  </si>
  <si>
    <t xml:space="preserve">Vatican </t>
  </si>
  <si>
    <t>Boom&amp;Angie</t>
  </si>
  <si>
    <t>venue</t>
  </si>
  <si>
    <t>Boom</t>
  </si>
  <si>
    <t xml:space="preserve">rooms </t>
  </si>
  <si>
    <t>Roberta</t>
  </si>
  <si>
    <t>Cathering</t>
  </si>
  <si>
    <t>Reharsal Dinner</t>
  </si>
  <si>
    <t xml:space="preserve">suppliers </t>
  </si>
  <si>
    <t xml:space="preserve">flowers </t>
  </si>
  <si>
    <t>photographer</t>
  </si>
  <si>
    <t xml:space="preserve">Roberta </t>
  </si>
  <si>
    <t xml:space="preserve">music </t>
  </si>
  <si>
    <t>invites</t>
  </si>
  <si>
    <t xml:space="preserve">Ronald </t>
  </si>
  <si>
    <t xml:space="preserve">favors </t>
  </si>
  <si>
    <t>-</t>
  </si>
  <si>
    <t>Roberta's Mum</t>
  </si>
  <si>
    <t xml:space="preserve">groom attire </t>
  </si>
  <si>
    <t xml:space="preserve">bridesmaid and gromsman gifts </t>
  </si>
  <si>
    <t xml:space="preserve">Roberta&amp;Ronald </t>
  </si>
  <si>
    <t xml:space="preserve">bus from naples </t>
  </si>
  <si>
    <t>fireworks</t>
  </si>
  <si>
    <t>make up&amp; Hairsylist</t>
  </si>
  <si>
    <t>Car</t>
  </si>
  <si>
    <t xml:space="preserve">bus to the vatican </t>
  </si>
  <si>
    <t>TOTAL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</si>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</sst>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3">
    <font>
      <sz val="10.0"/>
      <color rgb="FF000000"/>
      <name val="Arial"/>
      <scheme val="minor"/>
    </font>
    <font>
      <b/>
      <sz val="21.0"/>
      <color rgb="FF1F497D"/>
      <name val="&quot;Google Sans&quot;"/>
    </font>
    <font>
      <sz val="12.0"/>
      <color theme="1"/>
      <name val="Calibri"/>
    </font>
    <font>
      <sz val="14.0"/>
      <color rgb="FFFFFFFF"/>
      <name val="&quot;Google Sans&quot;"/>
    </font>
    <font>
      <sz val="12.0"/>
      <color theme="1"/>
      <name val="&quot;Google Sans&quot;"/>
    </font>
    <font>
      <sz val="12.0"/>
      <color rgb="FF000000"/>
      <name val="&quot;Google Sans&quot;"/>
    </font>
    <font>
      <sz val="12.0"/>
      <color theme="1"/>
      <name val="Google Sans"/>
    </font>
    <font>
      <sz val="12.0"/>
      <color rgb="FFFFFFFF"/>
      <name val="&quot;Google Sans&quot;"/>
    </font>
    <font>
      <sz val="12.0"/>
      <color rgb="FFFFFFFF"/>
      <name val="Comic Sans MS"/>
    </font>
    <font>
      <sz val="12.0"/>
      <color rgb="FFFFFFFF"/>
      <name val="Google Sans"/>
    </font>
    <font>
      <b/>
      <sz val="12.0"/>
      <color theme="1"/>
      <name val="&quot;Google Sans&quot;"/>
    </font>
    <font>
      <sz val="12.0"/>
      <color theme="1"/>
      <name val="Comic Sans MS"/>
    </font>
    <font>
      <b/>
      <sz val="14.0"/>
      <color rgb="FFFFFFFF"/>
      <name val="&quot;Google Sans&quot;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B8A444"/>
        <bgColor rgb="FFB8A444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6D9F0"/>
        <bgColor rgb="FFC6D9F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B8CCE4"/>
        <bgColor rgb="FFB8CCE4"/>
      </patternFill>
    </fill>
    <fill>
      <patternFill patternType="solid">
        <fgColor rgb="FF548DD4"/>
        <bgColor rgb="FF548DD4"/>
      </patternFill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top"/>
    </xf>
    <xf borderId="1" fillId="4" fontId="3" numFmtId="0" xfId="0" applyAlignment="1" applyBorder="1" applyFont="1">
      <alignment vertical="top"/>
    </xf>
    <xf borderId="1" fillId="4" fontId="2" numFmtId="0" xfId="0" applyAlignment="1" applyBorder="1" applyFont="1">
      <alignment readingOrder="0" vertical="top"/>
    </xf>
    <xf borderId="1" fillId="5" fontId="4" numFmtId="164" xfId="0" applyAlignment="1" applyBorder="1" applyFill="1" applyFont="1" applyNumberFormat="1">
      <alignment horizontal="right" readingOrder="0" vertical="bottom"/>
    </xf>
    <xf borderId="1" fillId="5" fontId="4" numFmtId="164" xfId="0" applyAlignment="1" applyBorder="1" applyFont="1" applyNumberFormat="1">
      <alignment horizontal="right" vertical="bottom"/>
    </xf>
    <xf borderId="0" fillId="2" fontId="2" numFmtId="16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2" numFmtId="0" xfId="0" applyAlignment="1" applyFont="1">
      <alignment readingOrder="0" vertical="top"/>
    </xf>
    <xf borderId="0" fillId="4" fontId="2" numFmtId="0" xfId="0" applyAlignment="1" applyFont="1">
      <alignment vertical="top"/>
    </xf>
    <xf borderId="0" fillId="4" fontId="6" numFmtId="0" xfId="0" applyAlignment="1" applyFont="1">
      <alignment vertical="top"/>
    </xf>
    <xf borderId="0" fillId="6" fontId="7" numFmtId="0" xfId="0" applyAlignment="1" applyFill="1" applyFont="1">
      <alignment vertical="top"/>
    </xf>
    <xf borderId="0" fillId="6" fontId="7" numFmtId="0" xfId="0" applyAlignment="1" applyFont="1">
      <alignment readingOrder="0" vertical="top"/>
    </xf>
    <xf borderId="0" fillId="6" fontId="8" numFmtId="0" xfId="0" applyAlignment="1" applyFont="1">
      <alignment readingOrder="0"/>
    </xf>
    <xf borderId="1" fillId="6" fontId="9" numFmtId="0" xfId="0" applyAlignment="1" applyBorder="1" applyFont="1">
      <alignment readingOrder="0" vertical="bottom"/>
    </xf>
    <xf borderId="0" fillId="6" fontId="9" numFmtId="0" xfId="0" applyAlignment="1" applyFont="1">
      <alignment readingOrder="0" vertical="top"/>
    </xf>
    <xf borderId="0" fillId="6" fontId="6" numFmtId="0" xfId="0" applyAlignment="1" applyFont="1">
      <alignment readingOrder="0" vertical="bottom"/>
    </xf>
    <xf borderId="1" fillId="3" fontId="10" numFmtId="0" xfId="0" applyAlignment="1" applyBorder="1" applyFont="1">
      <alignment readingOrder="0" vertical="bottom"/>
    </xf>
    <xf borderId="1" fillId="2" fontId="10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7" fontId="2" numFmtId="0" xfId="0" applyAlignment="1" applyBorder="1" applyFill="1" applyFont="1">
      <alignment readingOrder="0" vertical="bottom"/>
    </xf>
    <xf borderId="1" fillId="8" fontId="2" numFmtId="0" xfId="0" applyAlignment="1" applyBorder="1" applyFill="1" applyFont="1">
      <alignment readingOrder="0" vertical="bottom"/>
    </xf>
    <xf borderId="1" fillId="9" fontId="2" numFmtId="164" xfId="0" applyAlignment="1" applyBorder="1" applyFill="1" applyFont="1" applyNumberFormat="1">
      <alignment readingOrder="0" vertical="bottom"/>
    </xf>
    <xf borderId="1" fillId="2" fontId="2" numFmtId="164" xfId="0" applyAlignment="1" applyBorder="1" applyFont="1" applyNumberFormat="1">
      <alignment vertical="bottom"/>
    </xf>
    <xf borderId="1" fillId="2" fontId="4" numFmtId="164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vertical="bottom"/>
    </xf>
    <xf borderId="1" fillId="2" fontId="2" numFmtId="164" xfId="0" applyAlignment="1" applyBorder="1" applyFont="1" applyNumberFormat="1">
      <alignment readingOrder="0" vertical="bottom"/>
    </xf>
    <xf borderId="1" fillId="10" fontId="4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ont="1" applyNumberFormat="1">
      <alignment horizontal="right" vertical="bottom"/>
    </xf>
    <xf borderId="1" fillId="11" fontId="4" numFmtId="164" xfId="0" applyAlignment="1" applyBorder="1" applyFill="1" applyFont="1" applyNumberFormat="1">
      <alignment horizontal="right" vertical="bottom"/>
    </xf>
    <xf borderId="1" fillId="3" fontId="2" numFmtId="164" xfId="0" applyAlignment="1" applyBorder="1" applyFont="1" applyNumberFormat="1">
      <alignment vertical="bottom"/>
    </xf>
    <xf borderId="1" fillId="12" fontId="10" numFmtId="0" xfId="0" applyAlignment="1" applyBorder="1" applyFill="1" applyFont="1">
      <alignment readingOrder="0" vertical="bottom"/>
    </xf>
    <xf borderId="1" fillId="13" fontId="2" numFmtId="0" xfId="0" applyAlignment="1" applyBorder="1" applyFill="1" applyFont="1">
      <alignment readingOrder="0" vertical="bottom"/>
    </xf>
    <xf borderId="1" fillId="13" fontId="2" numFmtId="164" xfId="0" applyAlignment="1" applyBorder="1" applyFont="1" applyNumberFormat="1">
      <alignment readingOrder="0" vertical="bottom"/>
    </xf>
    <xf borderId="1" fillId="9" fontId="2" numFmtId="0" xfId="0" applyAlignment="1" applyBorder="1" applyFont="1">
      <alignment readingOrder="0" vertical="bottom"/>
    </xf>
    <xf borderId="1" fillId="14" fontId="4" numFmtId="164" xfId="0" applyAlignment="1" applyBorder="1" applyFill="1" applyFont="1" applyNumberFormat="1">
      <alignment horizontal="right" readingOrder="0" vertical="bottom"/>
    </xf>
    <xf borderId="1" fillId="14" fontId="4" numFmtId="164" xfId="0" applyAlignment="1" applyBorder="1" applyFont="1" applyNumberFormat="1">
      <alignment horizontal="right" vertical="bottom"/>
    </xf>
    <xf borderId="1" fillId="3" fontId="11" numFmtId="0" xfId="0" applyAlignment="1" applyBorder="1" applyFont="1">
      <alignment readingOrder="0" vertical="bottom"/>
    </xf>
    <xf borderId="1" fillId="3" fontId="2" numFmtId="0" xfId="0" applyAlignment="1" applyBorder="1" applyFont="1">
      <alignment vertical="bottom"/>
    </xf>
    <xf borderId="1" fillId="7" fontId="10" numFmtId="0" xfId="0" applyAlignment="1" applyBorder="1" applyFont="1">
      <alignment readingOrder="0" vertical="bottom"/>
    </xf>
    <xf borderId="1" fillId="10" fontId="4" numFmtId="164" xfId="0" applyAlignment="1" applyBorder="1" applyFont="1" applyNumberFormat="1">
      <alignment horizontal="right" readingOrder="0" vertical="bottom"/>
    </xf>
    <xf borderId="1" fillId="2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15" fontId="12" numFmtId="0" xfId="0" applyAlignment="1" applyBorder="1" applyFill="1" applyFont="1">
      <alignment vertical="bottom"/>
    </xf>
    <xf borderId="1" fillId="15" fontId="12" numFmtId="164" xfId="0" applyAlignment="1" applyBorder="1" applyFont="1" applyNumberFormat="1">
      <alignment vertical="bottom"/>
    </xf>
    <xf borderId="1" fillId="15" fontId="12" numFmtId="164" xfId="0" applyAlignment="1" applyBorder="1" applyFont="1" applyNumberFormat="1">
      <alignment horizontal="right" vertical="bottom"/>
    </xf>
    <xf borderId="1" fillId="15" fontId="6" numFmtId="0" xfId="0" applyAlignment="1" applyBorder="1" applyFont="1">
      <alignment vertical="bottom"/>
    </xf>
    <xf borderId="1" fillId="15" fontId="6" numFmtId="164" xfId="0" applyAlignment="1" applyBorder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7" max="8" width="20.63"/>
    <col customWidth="1" min="9" max="12" width="14.38"/>
  </cols>
  <sheetData>
    <row r="1">
      <c r="A1" s="1" t="s">
        <v>0</v>
      </c>
      <c r="H1" s="2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2"/>
      <c r="B2" s="2"/>
      <c r="C2" s="2"/>
      <c r="D2" s="2"/>
      <c r="E2" s="2"/>
      <c r="F2" s="2"/>
      <c r="G2" s="5"/>
      <c r="H2" s="5"/>
      <c r="I2" s="5"/>
      <c r="J2" s="5"/>
      <c r="K2" s="5"/>
      <c r="L2" s="5"/>
      <c r="M2" s="5"/>
      <c r="N2" s="5"/>
      <c r="O2" s="5"/>
      <c r="P2" s="5"/>
      <c r="Q2" s="2"/>
      <c r="R2" s="2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2"/>
      <c r="B3" s="2"/>
      <c r="C3" s="2"/>
      <c r="D3" s="2"/>
      <c r="E3" s="2"/>
      <c r="F3" s="2"/>
      <c r="G3" s="6" t="s">
        <v>1</v>
      </c>
      <c r="H3" s="6" t="s">
        <v>2</v>
      </c>
      <c r="I3" s="5"/>
      <c r="J3" s="5"/>
      <c r="K3" s="5"/>
      <c r="L3" s="5"/>
      <c r="M3" s="5"/>
      <c r="N3" s="7" t="s">
        <v>3</v>
      </c>
      <c r="O3" s="7" t="s">
        <v>4</v>
      </c>
      <c r="P3" s="7" t="s">
        <v>5</v>
      </c>
      <c r="Q3" s="2"/>
      <c r="R3" s="2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/>
      <c r="B4" s="2"/>
      <c r="C4" s="2"/>
      <c r="D4" s="2"/>
      <c r="E4" s="2"/>
      <c r="F4" s="2"/>
      <c r="G4" s="8">
        <v>30000.0</v>
      </c>
      <c r="H4" s="8">
        <f>SUM(H11:H35)</f>
        <v>26535</v>
      </c>
      <c r="I4" s="9"/>
      <c r="J4" s="9"/>
      <c r="K4" s="9"/>
      <c r="L4" s="9">
        <f t="shared" ref="L4:P4" si="1">L36</f>
        <v>0</v>
      </c>
      <c r="M4" s="9" t="str">
        <f t="shared" si="1"/>
        <v/>
      </c>
      <c r="N4" s="9">
        <f t="shared" si="1"/>
        <v>0.8845</v>
      </c>
      <c r="O4" s="9">
        <f t="shared" si="1"/>
        <v>0.1155</v>
      </c>
      <c r="P4" s="9">
        <f t="shared" si="1"/>
        <v>3465</v>
      </c>
      <c r="Q4" s="2"/>
      <c r="R4" s="2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4"/>
      <c r="N5" s="2"/>
      <c r="O5" s="2"/>
      <c r="P5" s="2"/>
      <c r="Q5" s="2"/>
      <c r="R5" s="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2"/>
      <c r="O6" s="2"/>
      <c r="P6" s="2"/>
      <c r="Q6" s="2"/>
      <c r="R6" s="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2"/>
      <c r="P7" s="2"/>
      <c r="Q7" s="2"/>
      <c r="R7" s="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11" t="s">
        <v>6</v>
      </c>
      <c r="D8" s="12" t="s">
        <v>7</v>
      </c>
      <c r="F8" s="4" t="s">
        <v>8</v>
      </c>
      <c r="G8" s="13" t="s">
        <v>9</v>
      </c>
      <c r="H8" s="14" t="s">
        <v>10</v>
      </c>
      <c r="I8" s="13" t="s">
        <v>11</v>
      </c>
      <c r="J8" s="14"/>
      <c r="K8" s="14"/>
      <c r="L8" s="14"/>
      <c r="M8" s="15"/>
      <c r="N8" s="15"/>
      <c r="O8" s="15"/>
      <c r="P8" s="15"/>
      <c r="Q8" s="2"/>
      <c r="R8" s="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6" t="s">
        <v>12</v>
      </c>
      <c r="B9" s="16" t="s">
        <v>13</v>
      </c>
      <c r="C9" s="16" t="s">
        <v>14</v>
      </c>
      <c r="D9" s="16" t="s">
        <v>15</v>
      </c>
      <c r="E9" s="16" t="s">
        <v>16</v>
      </c>
      <c r="F9" s="16"/>
      <c r="G9" s="17" t="s">
        <v>17</v>
      </c>
      <c r="H9" s="16"/>
      <c r="I9" s="16"/>
      <c r="J9" s="18" t="s">
        <v>18</v>
      </c>
      <c r="K9" s="17">
        <v>30000.0</v>
      </c>
      <c r="L9" s="17" t="s">
        <v>19</v>
      </c>
      <c r="M9" s="19"/>
      <c r="N9" s="19" t="s">
        <v>20</v>
      </c>
      <c r="O9" s="20" t="s">
        <v>4</v>
      </c>
      <c r="P9" s="21" t="s">
        <v>21</v>
      </c>
      <c r="Q9" s="2"/>
      <c r="R9" s="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22" t="s">
        <v>22</v>
      </c>
      <c r="B10" s="23"/>
      <c r="C10" s="23"/>
      <c r="D10" s="23"/>
      <c r="E10" s="23"/>
      <c r="F10" s="23"/>
      <c r="G10" s="24"/>
      <c r="H10" s="25"/>
      <c r="I10" s="25"/>
      <c r="J10" s="24"/>
      <c r="K10" s="24">
        <v>30000.0</v>
      </c>
      <c r="M10" s="26"/>
      <c r="N10" s="26">
        <f>IF($K$11=0,0,$H$36/$K$11)</f>
        <v>0.8845</v>
      </c>
      <c r="O10" s="26">
        <f>IF($K$11=0,0,1-($H$36/$K$11))</f>
        <v>0.1155</v>
      </c>
      <c r="P10" s="26"/>
      <c r="Q10" s="2"/>
      <c r="R10" s="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27" t="s">
        <v>23</v>
      </c>
      <c r="B11" s="28">
        <v>6.0</v>
      </c>
      <c r="C11" s="29">
        <v>2200.0</v>
      </c>
      <c r="D11" s="25"/>
      <c r="E11" s="30"/>
      <c r="F11" s="30"/>
      <c r="G11" s="31">
        <v>2700.0</v>
      </c>
      <c r="H11" s="30"/>
      <c r="I11" s="32" t="s">
        <v>24</v>
      </c>
      <c r="J11" s="33"/>
      <c r="K11" s="32">
        <v>30000.0</v>
      </c>
      <c r="L11" s="33">
        <f>IF(G35=0,0,1-(H35/G35))</f>
        <v>0</v>
      </c>
      <c r="M11" s="26"/>
      <c r="N11" s="26"/>
      <c r="O11" s="26"/>
      <c r="P11" s="26"/>
      <c r="Q11" s="2"/>
      <c r="R11" s="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27" t="s">
        <v>25</v>
      </c>
      <c r="B12" s="28">
        <v>1.0</v>
      </c>
      <c r="C12" s="29">
        <v>4785.0</v>
      </c>
      <c r="D12" s="25"/>
      <c r="E12" s="34"/>
      <c r="F12" s="30"/>
      <c r="G12" s="35">
        <f t="shared" ref="G12:G13" si="2">(B12*C12)+(D12*E12)+F12</f>
        <v>4785</v>
      </c>
      <c r="H12" s="34">
        <v>4785.0</v>
      </c>
      <c r="I12" s="32" t="s">
        <v>26</v>
      </c>
      <c r="J12" s="33"/>
      <c r="K12" s="32">
        <v>4785.0</v>
      </c>
      <c r="L12" s="32">
        <v>4785.0</v>
      </c>
      <c r="M12" s="26"/>
      <c r="N12" s="26"/>
      <c r="O12" s="26"/>
      <c r="P12" s="26"/>
      <c r="Q12" s="2"/>
      <c r="R12" s="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27" t="s">
        <v>27</v>
      </c>
      <c r="B13" s="28">
        <v>1.0</v>
      </c>
      <c r="C13" s="29">
        <v>300.0</v>
      </c>
      <c r="D13" s="25"/>
      <c r="E13" s="30"/>
      <c r="F13" s="30"/>
      <c r="G13" s="35">
        <f t="shared" si="2"/>
        <v>300</v>
      </c>
      <c r="H13" s="34">
        <v>300.0</v>
      </c>
      <c r="I13" s="32" t="s">
        <v>28</v>
      </c>
      <c r="J13" s="33"/>
      <c r="K13" s="32">
        <v>300.0</v>
      </c>
      <c r="L13" s="32">
        <v>300.0</v>
      </c>
      <c r="M13" s="26"/>
      <c r="N13" s="26"/>
      <c r="O13" s="26"/>
      <c r="P13" s="26"/>
      <c r="Q13" s="2"/>
      <c r="R13" s="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27" t="s">
        <v>29</v>
      </c>
      <c r="B14" s="24">
        <v>1.0</v>
      </c>
      <c r="C14" s="34">
        <v>14400.0</v>
      </c>
      <c r="D14" s="25"/>
      <c r="E14" s="30"/>
      <c r="F14" s="30"/>
      <c r="G14" s="31">
        <v>14400.0</v>
      </c>
      <c r="H14" s="34">
        <v>14400.0</v>
      </c>
      <c r="I14" s="32" t="s">
        <v>24</v>
      </c>
      <c r="J14" s="33"/>
      <c r="K14" s="33"/>
      <c r="L14" s="33">
        <f>IF(G35=0,0,1-(H35/G35))</f>
        <v>0</v>
      </c>
      <c r="M14" s="26"/>
      <c r="N14" s="26"/>
      <c r="O14" s="26"/>
      <c r="P14" s="26"/>
      <c r="Q14" s="2"/>
      <c r="R14" s="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27" t="s">
        <v>30</v>
      </c>
      <c r="B15" s="25"/>
      <c r="C15" s="30"/>
      <c r="D15" s="25"/>
      <c r="E15" s="30"/>
      <c r="F15" s="30"/>
      <c r="G15" s="36">
        <f>(B15*C15)+(D15*E15)+F15</f>
        <v>0</v>
      </c>
      <c r="H15" s="30"/>
      <c r="I15" s="33"/>
      <c r="J15" s="33"/>
      <c r="K15" s="33"/>
      <c r="L15" s="33">
        <f>IF(G35=0,0,1-(H35/G35))</f>
        <v>0</v>
      </c>
      <c r="M15" s="26"/>
      <c r="N15" s="26"/>
      <c r="O15" s="26"/>
      <c r="P15" s="26"/>
      <c r="Q15" s="2"/>
      <c r="R15" s="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25"/>
      <c r="B16" s="25"/>
      <c r="C16" s="25"/>
      <c r="D16" s="25"/>
      <c r="E16" s="25"/>
      <c r="F16" s="25"/>
      <c r="G16" s="37"/>
      <c r="H16" s="37"/>
      <c r="I16" s="38"/>
      <c r="J16" s="38"/>
      <c r="K16" s="38"/>
      <c r="L16" s="38">
        <f>IF(G35=0,0,1-(H35/G35))</f>
        <v>0</v>
      </c>
      <c r="M16" s="26"/>
      <c r="N16" s="26"/>
      <c r="O16" s="26"/>
      <c r="P16" s="26"/>
      <c r="Q16" s="2"/>
      <c r="R16" s="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39" t="s">
        <v>31</v>
      </c>
      <c r="B17" s="25"/>
      <c r="C17" s="25"/>
      <c r="D17" s="25"/>
      <c r="E17" s="25"/>
      <c r="F17" s="25"/>
      <c r="G17" s="30"/>
      <c r="H17" s="30"/>
      <c r="I17" s="30"/>
      <c r="J17" s="30"/>
      <c r="K17" s="30"/>
      <c r="L17" s="30">
        <f>IF(G35=0,0,1-(H35/G35))</f>
        <v>0</v>
      </c>
      <c r="M17" s="26"/>
      <c r="N17" s="26"/>
      <c r="O17" s="26"/>
      <c r="P17" s="26"/>
      <c r="Q17" s="2"/>
      <c r="R17" s="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27" t="s">
        <v>32</v>
      </c>
      <c r="B18" s="40">
        <v>12.0</v>
      </c>
      <c r="C18" s="29"/>
      <c r="D18" s="25"/>
      <c r="E18" s="30"/>
      <c r="F18" s="30"/>
      <c r="G18" s="36">
        <f t="shared" ref="G18:G21" si="3">(B18*C18)+(D18*E18)+F18</f>
        <v>0</v>
      </c>
      <c r="H18" s="30"/>
      <c r="I18" s="32"/>
      <c r="J18" s="33"/>
      <c r="K18" s="33"/>
      <c r="L18" s="33">
        <f>IF(G35=0,0,1-(H35/G35))</f>
        <v>0</v>
      </c>
      <c r="M18" s="26"/>
      <c r="N18" s="26"/>
      <c r="O18" s="26"/>
      <c r="P18" s="26"/>
      <c r="Q18" s="2"/>
      <c r="R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27" t="s">
        <v>33</v>
      </c>
      <c r="B19" s="41">
        <v>1.0</v>
      </c>
      <c r="C19" s="29">
        <v>1600.0</v>
      </c>
      <c r="D19" s="30"/>
      <c r="E19" s="30"/>
      <c r="F19" s="30"/>
      <c r="G19" s="35">
        <f t="shared" si="3"/>
        <v>1600</v>
      </c>
      <c r="H19" s="34">
        <v>1600.0</v>
      </c>
      <c r="I19" s="32" t="s">
        <v>34</v>
      </c>
      <c r="J19" s="33"/>
      <c r="K19" s="32">
        <v>1600.0</v>
      </c>
      <c r="L19" s="32">
        <v>1600.0</v>
      </c>
      <c r="M19" s="26"/>
      <c r="N19" s="26"/>
      <c r="O19" s="26"/>
      <c r="P19" s="26"/>
      <c r="Q19" s="2"/>
      <c r="R19" s="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27" t="s">
        <v>35</v>
      </c>
      <c r="B20" s="41">
        <v>1.0</v>
      </c>
      <c r="C20" s="29">
        <v>1400.0</v>
      </c>
      <c r="D20" s="30"/>
      <c r="E20" s="30"/>
      <c r="F20" s="30"/>
      <c r="G20" s="35">
        <f t="shared" si="3"/>
        <v>1400</v>
      </c>
      <c r="H20" s="34">
        <v>1400.0</v>
      </c>
      <c r="I20" s="32" t="s">
        <v>34</v>
      </c>
      <c r="J20" s="33"/>
      <c r="K20" s="32">
        <v>1400.0</v>
      </c>
      <c r="L20" s="32">
        <v>1400.0</v>
      </c>
      <c r="M20" s="26"/>
      <c r="N20" s="26"/>
      <c r="O20" s="26"/>
      <c r="P20" s="26"/>
      <c r="Q20" s="2"/>
      <c r="R20" s="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27" t="s">
        <v>36</v>
      </c>
      <c r="B21" s="41">
        <v>1.0</v>
      </c>
      <c r="C21" s="29">
        <v>300.0</v>
      </c>
      <c r="D21" s="30"/>
      <c r="E21" s="30"/>
      <c r="F21" s="30"/>
      <c r="G21" s="36">
        <f t="shared" si="3"/>
        <v>300</v>
      </c>
      <c r="H21" s="34">
        <v>300.0</v>
      </c>
      <c r="I21" s="32" t="s">
        <v>37</v>
      </c>
      <c r="J21" s="33"/>
      <c r="K21" s="32">
        <v>300.0</v>
      </c>
      <c r="L21" s="32">
        <v>300.0</v>
      </c>
      <c r="M21" s="26"/>
      <c r="N21" s="26"/>
      <c r="O21" s="26"/>
      <c r="P21" s="26"/>
      <c r="Q21" s="2"/>
      <c r="R21" s="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27" t="s">
        <v>38</v>
      </c>
      <c r="B22" s="41"/>
      <c r="C22" s="29"/>
      <c r="D22" s="34"/>
      <c r="E22" s="34"/>
      <c r="F22" s="30"/>
      <c r="G22" s="31" t="s">
        <v>39</v>
      </c>
      <c r="H22" s="30"/>
      <c r="I22" s="32" t="s">
        <v>40</v>
      </c>
      <c r="J22" s="33"/>
      <c r="K22" s="33"/>
      <c r="L22" s="33">
        <f>IF(G35=0,0,1-(H35/G35))</f>
        <v>0</v>
      </c>
      <c r="M22" s="26"/>
      <c r="N22" s="26"/>
      <c r="O22" s="26"/>
      <c r="P22" s="26"/>
      <c r="Q22" s="2"/>
      <c r="R22" s="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27"/>
      <c r="B23" s="40"/>
      <c r="C23" s="42"/>
      <c r="D23" s="25"/>
      <c r="E23" s="25"/>
      <c r="F23" s="25"/>
      <c r="G23" s="43"/>
      <c r="H23" s="44"/>
      <c r="I23" s="45"/>
      <c r="J23" s="46"/>
      <c r="K23" s="46"/>
      <c r="L23" s="46"/>
      <c r="M23" s="26"/>
      <c r="N23" s="26"/>
      <c r="O23" s="26"/>
      <c r="P23" s="26"/>
      <c r="Q23" s="2"/>
      <c r="R23" s="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/>
      <c r="B24" s="25"/>
      <c r="C24" s="25"/>
      <c r="D24" s="25"/>
      <c r="E24" s="25"/>
      <c r="F24" s="25"/>
      <c r="G24" s="30"/>
      <c r="H24" s="30"/>
      <c r="I24" s="25"/>
      <c r="J24" s="25"/>
      <c r="K24" s="25"/>
      <c r="L24" s="25"/>
      <c r="M24" s="26"/>
      <c r="N24" s="26"/>
      <c r="O24" s="26"/>
      <c r="P24" s="26"/>
      <c r="Q24" s="2"/>
      <c r="R24" s="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/>
      <c r="B25" s="25"/>
      <c r="C25" s="25"/>
      <c r="D25" s="25"/>
      <c r="E25" s="25"/>
      <c r="F25" s="25"/>
      <c r="G25" s="30"/>
      <c r="H25" s="30"/>
      <c r="I25" s="25"/>
      <c r="J25" s="25"/>
      <c r="K25" s="25"/>
      <c r="L25" s="25"/>
      <c r="M25" s="26"/>
      <c r="N25" s="26"/>
      <c r="O25" s="26"/>
      <c r="P25" s="26"/>
      <c r="Q25" s="2"/>
      <c r="R25" s="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27" t="s">
        <v>41</v>
      </c>
      <c r="B26" s="41">
        <v>1.0</v>
      </c>
      <c r="C26" s="29">
        <v>700.0</v>
      </c>
      <c r="D26" s="30"/>
      <c r="E26" s="30"/>
      <c r="F26" s="30"/>
      <c r="G26" s="35">
        <f t="shared" ref="G26:G29" si="4">(B26*C26)+(D26*E26)+F26</f>
        <v>700</v>
      </c>
      <c r="H26" s="34">
        <v>700.0</v>
      </c>
      <c r="I26" s="32" t="s">
        <v>37</v>
      </c>
      <c r="J26" s="33"/>
      <c r="K26" s="32">
        <v>700.0</v>
      </c>
      <c r="L26" s="32">
        <v>700.0</v>
      </c>
      <c r="M26" s="26"/>
      <c r="N26" s="26"/>
      <c r="O26" s="26"/>
      <c r="P26" s="26"/>
      <c r="Q26" s="2"/>
      <c r="R26" s="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27" t="s">
        <v>42</v>
      </c>
      <c r="B27" s="41">
        <v>8.0</v>
      </c>
      <c r="C27" s="29">
        <v>100.0</v>
      </c>
      <c r="D27" s="30"/>
      <c r="E27" s="30"/>
      <c r="F27" s="30"/>
      <c r="G27" s="35">
        <f t="shared" si="4"/>
        <v>800</v>
      </c>
      <c r="H27" s="34">
        <v>800.0</v>
      </c>
      <c r="I27" s="32" t="s">
        <v>43</v>
      </c>
      <c r="J27" s="33"/>
      <c r="K27" s="32">
        <v>800.0</v>
      </c>
      <c r="L27" s="32">
        <v>800.0</v>
      </c>
      <c r="M27" s="26"/>
      <c r="N27" s="26"/>
      <c r="O27" s="26"/>
      <c r="P27" s="26"/>
      <c r="Q27" s="2"/>
      <c r="R27" s="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27" t="s">
        <v>44</v>
      </c>
      <c r="B28" s="41">
        <v>1.0</v>
      </c>
      <c r="C28" s="29">
        <v>1400.0</v>
      </c>
      <c r="D28" s="30"/>
      <c r="E28" s="30"/>
      <c r="F28" s="30"/>
      <c r="G28" s="35">
        <f t="shared" si="4"/>
        <v>1400</v>
      </c>
      <c r="H28" s="34">
        <v>1400.0</v>
      </c>
      <c r="I28" s="32" t="s">
        <v>34</v>
      </c>
      <c r="J28" s="33"/>
      <c r="K28" s="32">
        <v>1400.0</v>
      </c>
      <c r="L28" s="32">
        <v>1400.0</v>
      </c>
      <c r="M28" s="26"/>
      <c r="N28" s="26"/>
      <c r="O28" s="26"/>
      <c r="P28" s="26"/>
      <c r="Q28" s="2"/>
      <c r="R28" s="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27" t="s">
        <v>45</v>
      </c>
      <c r="B29" s="41"/>
      <c r="C29" s="29"/>
      <c r="D29" s="30"/>
      <c r="E29" s="30"/>
      <c r="F29" s="30"/>
      <c r="G29" s="36">
        <f t="shared" si="4"/>
        <v>0</v>
      </c>
      <c r="H29" s="30"/>
      <c r="I29" s="33"/>
      <c r="J29" s="33"/>
      <c r="K29" s="33"/>
      <c r="L29" s="33">
        <f>IF(G35=0,0,1-(H35/G35))</f>
        <v>0</v>
      </c>
      <c r="M29" s="26"/>
      <c r="N29" s="26"/>
      <c r="O29" s="26"/>
      <c r="P29" s="26"/>
      <c r="Q29" s="2"/>
      <c r="R29" s="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27" t="s">
        <v>46</v>
      </c>
      <c r="B30" s="41">
        <v>1.0</v>
      </c>
      <c r="C30" s="29">
        <v>450.0</v>
      </c>
      <c r="D30" s="30"/>
      <c r="E30" s="30"/>
      <c r="F30" s="30"/>
      <c r="G30" s="48">
        <v>450.0</v>
      </c>
      <c r="H30" s="34">
        <v>450.0</v>
      </c>
      <c r="I30" s="32" t="s">
        <v>34</v>
      </c>
      <c r="J30" s="32"/>
      <c r="K30" s="32">
        <v>450.0</v>
      </c>
      <c r="L30" s="32">
        <v>450.0</v>
      </c>
      <c r="M30" s="26"/>
      <c r="N30" s="26"/>
      <c r="O30" s="26"/>
      <c r="P30" s="26"/>
      <c r="Q30" s="2"/>
      <c r="R30" s="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27" t="s">
        <v>47</v>
      </c>
      <c r="B31" s="41">
        <v>1.0</v>
      </c>
      <c r="C31" s="29">
        <v>400.0</v>
      </c>
      <c r="D31" s="30"/>
      <c r="E31" s="30"/>
      <c r="F31" s="30"/>
      <c r="G31" s="31">
        <v>400.0</v>
      </c>
      <c r="H31" s="34">
        <v>400.0</v>
      </c>
      <c r="I31" s="32"/>
      <c r="J31" s="32"/>
      <c r="K31" s="32">
        <v>400.0</v>
      </c>
      <c r="L31" s="32">
        <v>400.0</v>
      </c>
      <c r="M31" s="26"/>
      <c r="N31" s="26"/>
      <c r="O31" s="26"/>
      <c r="P31" s="26"/>
      <c r="Q31" s="2"/>
      <c r="R31" s="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27" t="s">
        <v>48</v>
      </c>
      <c r="B32" s="41">
        <v>1.0</v>
      </c>
      <c r="C32" s="29"/>
      <c r="D32" s="30"/>
      <c r="E32" s="30"/>
      <c r="F32" s="30"/>
      <c r="G32" s="36">
        <f>(B32*C32)+(D32*E32)+F32</f>
        <v>0</v>
      </c>
      <c r="H32" s="30"/>
      <c r="I32" s="32" t="s">
        <v>34</v>
      </c>
      <c r="J32" s="33"/>
      <c r="K32" s="33"/>
      <c r="L32" s="33">
        <f>IF(G35=0,0,1-(H35/G35))</f>
        <v>0</v>
      </c>
      <c r="M32" s="26"/>
      <c r="N32" s="26"/>
      <c r="O32" s="26"/>
      <c r="P32" s="26"/>
      <c r="Q32" s="2"/>
      <c r="R32" s="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9"/>
      <c r="B33" s="49"/>
      <c r="C33" s="49"/>
      <c r="D33" s="50"/>
      <c r="E33" s="50"/>
      <c r="F33" s="50"/>
      <c r="G33" s="44"/>
      <c r="H33" s="44"/>
      <c r="I33" s="51"/>
      <c r="J33" s="51"/>
      <c r="K33" s="51"/>
      <c r="L33" s="51"/>
      <c r="M33" s="26"/>
      <c r="N33" s="26"/>
      <c r="O33" s="26"/>
      <c r="P33" s="26"/>
      <c r="Q33" s="2"/>
      <c r="R33" s="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9"/>
      <c r="B34" s="49"/>
      <c r="C34" s="49"/>
      <c r="D34" s="50"/>
      <c r="E34" s="50"/>
      <c r="F34" s="50"/>
      <c r="G34" s="44"/>
      <c r="H34" s="44"/>
      <c r="I34" s="51"/>
      <c r="J34" s="51"/>
      <c r="K34" s="51"/>
      <c r="L34" s="51"/>
      <c r="M34" s="26"/>
      <c r="N34" s="26"/>
      <c r="O34" s="26"/>
      <c r="P34" s="26"/>
      <c r="Q34" s="2"/>
      <c r="R34" s="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9"/>
      <c r="B35" s="49"/>
      <c r="C35" s="49"/>
      <c r="D35" s="50"/>
      <c r="E35" s="50"/>
      <c r="F35" s="50"/>
      <c r="G35" s="43"/>
      <c r="H35" s="44"/>
      <c r="I35" s="51"/>
      <c r="J35" s="51"/>
      <c r="K35" s="51"/>
      <c r="L35" s="51"/>
      <c r="M35" s="26"/>
      <c r="N35" s="26"/>
      <c r="O35" s="26"/>
      <c r="P35" s="26"/>
      <c r="Q35" s="2"/>
      <c r="R35" s="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52" t="s">
        <v>49</v>
      </c>
      <c r="B36" s="52">
        <f>SUM(B11:B35)</f>
        <v>37</v>
      </c>
      <c r="C36" s="52"/>
      <c r="D36" s="52">
        <f>SUM(D11:D35)</f>
        <v>0</v>
      </c>
      <c r="E36" s="52"/>
      <c r="F36" s="53">
        <f t="shared" ref="F36:H36" si="5">SUM(F11:F35)</f>
        <v>0</v>
      </c>
      <c r="G36" s="54">
        <f t="shared" si="5"/>
        <v>29235</v>
      </c>
      <c r="H36" s="54">
        <f t="shared" si="5"/>
        <v>26535</v>
      </c>
      <c r="I36" s="52"/>
      <c r="J36" s="53">
        <f>G35-H35</f>
        <v>0</v>
      </c>
      <c r="K36" s="52">
        <f>IF(G35=0,0,H35/G35)</f>
        <v>0</v>
      </c>
      <c r="L36" s="52">
        <f>IF(G35=0,0,1-(H35/G35))</f>
        <v>0</v>
      </c>
      <c r="M36" s="55"/>
      <c r="N36" s="55">
        <f>IF($K$11=0,0,$H$36/$K$11)</f>
        <v>0.8845</v>
      </c>
      <c r="O36" s="55">
        <f>IF($K$11=0,0,1-($H$36/$K$11))</f>
        <v>0.1155</v>
      </c>
      <c r="P36" s="56">
        <f>$K$11-$H$36</f>
        <v>3465</v>
      </c>
      <c r="Q36" s="2"/>
      <c r="R36" s="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9"/>
      <c r="B37" s="49"/>
      <c r="C37" s="49"/>
      <c r="D37" s="50"/>
      <c r="E37" s="50"/>
      <c r="F37" s="50"/>
      <c r="G37" s="44"/>
      <c r="H37" s="44"/>
      <c r="I37" s="51"/>
      <c r="J37" s="51"/>
      <c r="K37" s="51"/>
      <c r="L37" s="51"/>
      <c r="M37" s="25"/>
      <c r="N37" s="25"/>
      <c r="O37" s="25"/>
      <c r="P37" s="25"/>
      <c r="Q37" s="2"/>
      <c r="R37" s="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9"/>
      <c r="B38" s="49"/>
      <c r="C38" s="49"/>
      <c r="D38" s="50"/>
      <c r="E38" s="50"/>
      <c r="F38" s="50"/>
      <c r="G38" s="43" t="s">
        <v>50</v>
      </c>
      <c r="H38" s="44"/>
      <c r="I38" s="51"/>
      <c r="J38" s="51"/>
      <c r="K38" s="51"/>
      <c r="L38" s="51"/>
      <c r="M38" s="25"/>
      <c r="N38" s="25"/>
      <c r="O38" s="25"/>
      <c r="P38" s="25"/>
      <c r="Q38" s="2"/>
      <c r="R38" s="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24"/>
      <c r="B39" s="24"/>
      <c r="C39" s="24"/>
      <c r="D39" s="25"/>
      <c r="E39" s="25"/>
      <c r="F39" s="25"/>
      <c r="G39" s="38"/>
      <c r="H39" s="38"/>
      <c r="I39" s="46"/>
      <c r="J39" s="46"/>
      <c r="K39" s="46"/>
      <c r="L39" s="46"/>
      <c r="M39" s="25"/>
      <c r="N39" s="25">
        <f>IF($K$11=0,0,$H$36/$K$11)</f>
        <v>0.8845</v>
      </c>
      <c r="O39" s="25"/>
      <c r="P39" s="25"/>
      <c r="Q39" s="2"/>
      <c r="R39" s="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M40" s="4"/>
      <c r="N40" s="2"/>
      <c r="O40" s="2"/>
      <c r="P40" s="2"/>
      <c r="Q40" s="2"/>
      <c r="R40" s="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"/>
      <c r="O41" s="2"/>
      <c r="P41" s="2"/>
      <c r="Q41" s="2"/>
      <c r="R41" s="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</sheetData>
  <mergeCells count="4">
    <mergeCell ref="A1:G1"/>
    <mergeCell ref="L1:O1"/>
    <mergeCell ref="B8:C8"/>
    <mergeCell ref="D8:E8"/>
  </mergeCells>
  <conditionalFormatting sqref="K10:K35">
    <cfRule type="notContainsBlanks" dxfId="0" priority="1">
      <formula>LEN(TRIM(K10))&gt;0</formula>
    </cfRule>
  </conditionalFormatting>
  <drawing r:id="rId1"/>
</worksheet>
</file>